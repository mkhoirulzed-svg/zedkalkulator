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_Toko_Alkes" sheetId="1" r:id="rId4"/>
  </sheets>
  <definedNames/>
  <calcPr/>
</workbook>
</file>

<file path=xl/sharedStrings.xml><?xml version="1.0" encoding="utf-8"?>
<sst xmlns="http://schemas.openxmlformats.org/spreadsheetml/2006/main" count="135" uniqueCount="94">
  <si>
    <t>nama</t>
  </si>
  <si>
    <t>harga</t>
  </si>
  <si>
    <t>kode</t>
  </si>
  <si>
    <t>stok</t>
  </si>
  <si>
    <t>merk</t>
  </si>
  <si>
    <t>NAMA</t>
  </si>
  <si>
    <t>HARGA BELI</t>
  </si>
  <si>
    <t>HAGA JUAL TOTAL</t>
  </si>
  <si>
    <t>Thermoone</t>
  </si>
  <si>
    <t xml:space="preserve">Termometer digital </t>
  </si>
  <si>
    <t xml:space="preserve"> Sinoheart</t>
  </si>
  <si>
    <t>cek gula darah</t>
  </si>
  <si>
    <t>onemed</t>
  </si>
  <si>
    <t xml:space="preserve">Alcohol swab </t>
  </si>
  <si>
    <t>Blood lancets</t>
  </si>
  <si>
    <t>omicron</t>
  </si>
  <si>
    <t>Termometer tembak</t>
  </si>
  <si>
    <t>Set Rawat Luka</t>
  </si>
  <si>
    <t xml:space="preserve">Safegloves </t>
  </si>
  <si>
    <t>Sarung Tangan M</t>
  </si>
  <si>
    <t>Kotak P3K</t>
  </si>
  <si>
    <t>​Ultrafix 5x1cm</t>
  </si>
  <si>
    <t>Tensimeter digital</t>
  </si>
  <si>
    <t>​Plesterin WP</t>
  </si>
  <si>
    <t>GP care</t>
  </si>
  <si>
    <t>LSI</t>
  </si>
  <si>
    <t>Alkohol 70% 100ml</t>
  </si>
  <si>
    <t>Onemed</t>
  </si>
  <si>
    <t>Povidone Iodine 30ml</t>
  </si>
  <si>
    <t>Test Pack</t>
  </si>
  <si>
    <t>GEA</t>
  </si>
  <si>
    <t>​I.V. Catheter no 22</t>
  </si>
  <si>
    <t xml:space="preserve">Pulse Oximeter </t>
  </si>
  <si>
    <t>upheal</t>
  </si>
  <si>
    <t xml:space="preserve">​Mesin Nebulizer </t>
  </si>
  <si>
    <t>Celana sunat</t>
  </si>
  <si>
    <t>​Tensimeter pergelangan</t>
  </si>
  <si>
    <t>Narita</t>
  </si>
  <si>
    <t>Kasa hidrofik 16 x 16</t>
  </si>
  <si>
    <t>NGT 18Fr</t>
  </si>
  <si>
    <t>Foley Catheter 18Fr</t>
  </si>
  <si>
    <t>Nasal Dewasa</t>
  </si>
  <si>
    <t>​Syringe 50cc NT</t>
  </si>
  <si>
    <t>Healthcare</t>
  </si>
  <si>
    <t>​I.V. Catheter No 22G</t>
  </si>
  <si>
    <t>​I.V. Catheter No 20G</t>
  </si>
  <si>
    <t>Onehealth</t>
  </si>
  <si>
    <t>Infus set</t>
  </si>
  <si>
    <t>Avico</t>
  </si>
  <si>
    <t>​Alcohol Pads</t>
  </si>
  <si>
    <t>Plesterin</t>
  </si>
  <si>
    <t>Plesterin bulat soft</t>
  </si>
  <si>
    <t>Syringe 5 ml</t>
  </si>
  <si>
    <t>Syringe 3 ml</t>
  </si>
  <si>
    <t>Syringe 10 ml</t>
  </si>
  <si>
    <t>Doble spike</t>
  </si>
  <si>
    <t>urin bag</t>
  </si>
  <si>
    <t>Terumo</t>
  </si>
  <si>
    <t>Needle no 24</t>
  </si>
  <si>
    <t>Stetoskop</t>
  </si>
  <si>
    <t>Tourniquet</t>
  </si>
  <si>
    <t>pispot</t>
  </si>
  <si>
    <t>Easytouch</t>
  </si>
  <si>
    <t>strip chole</t>
  </si>
  <si>
    <t>alat penggerus</t>
  </si>
  <si>
    <t>T-Towel</t>
  </si>
  <si>
    <t>Wash gloves</t>
  </si>
  <si>
    <t>Omron</t>
  </si>
  <si>
    <t>alkohol 70% 300ml</t>
  </si>
  <si>
    <t>Omicron</t>
  </si>
  <si>
    <t>sinoheart</t>
  </si>
  <si>
    <t>Strip glucosa 25</t>
  </si>
  <si>
    <t>kasur decubitus</t>
  </si>
  <si>
    <t>Alat stik 3 in 1</t>
  </si>
  <si>
    <t>Strip chole</t>
  </si>
  <si>
    <t>Tensimeter manual</t>
  </si>
  <si>
    <t>Syringe 50cc LT</t>
  </si>
  <si>
    <t>Tensi + stetoskop</t>
  </si>
  <si>
    <t>GlowMed</t>
  </si>
  <si>
    <t>Arm Sling</t>
  </si>
  <si>
    <t>Wing needle</t>
  </si>
  <si>
    <t>Chilli plast</t>
  </si>
  <si>
    <t>Plester coklat</t>
  </si>
  <si>
    <t>Tensimeter BW750</t>
  </si>
  <si>
    <t>Gel Jelly lubricant</t>
  </si>
  <si>
    <t>Oximeter saturasi</t>
  </si>
  <si>
    <t>iTrust BP 121</t>
  </si>
  <si>
    <t>Oximeter saturasi anak</t>
  </si>
  <si>
    <t>onecleane</t>
  </si>
  <si>
    <t>wash gloves 4</t>
  </si>
  <si>
    <t>LK88</t>
  </si>
  <si>
    <t>Oximeter</t>
  </si>
  <si>
    <t>GP 100</t>
  </si>
  <si>
    <t>Thermogun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</si>
</sst>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12.57"/>
    <col customWidth="1" min="3" max="3" width="15.57"/>
    <col customWidth="1" min="4" max="4" width="7.0"/>
    <col customWidth="1" min="5" max="5" width="15.0"/>
    <col customWidth="1" min="6" max="6" width="29.14"/>
    <col customWidth="1" min="7" max="7" width="18.0"/>
    <col customWidth="1" min="8" max="8" width="19.71"/>
    <col customWidth="1" min="9" max="9" width="12.0"/>
    <col customWidth="1" min="10" max="10" width="20.0"/>
    <col customWidth="1" min="11" max="11" width="18.0"/>
    <col customWidth="1" min="12" max="12" width="25.0"/>
    <col customWidth="1" min="13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</row>
    <row r="2">
      <c r="A2" s="3" t="str">
        <f t="shared" ref="A2:A66" si="1">F2 &amp; " - " &amp; E2
</f>
        <v>Termometer digital  - Thermoone</v>
      </c>
      <c r="B2" s="4">
        <v>20000.0</v>
      </c>
      <c r="C2" s="3" t="str">
        <f t="shared" ref="C2:C66" si="2">UPPER(LEFT(F2,4) &amp; "-" &amp; LEFT(E2,2) &amp; "-" &amp; TEXT(ROW(A2)-1,"000"))
</f>
        <v>TERM-TH-001</v>
      </c>
      <c r="D2" s="4">
        <v>3.0</v>
      </c>
      <c r="E2" s="4" t="s">
        <v>8</v>
      </c>
      <c r="F2" s="5" t="s">
        <v>9</v>
      </c>
    </row>
    <row r="3">
      <c r="A3" s="3" t="str">
        <f t="shared" si="1"/>
        <v>cek gula darah -  Sinoheart</v>
      </c>
      <c r="B3" s="4">
        <v>50000.0</v>
      </c>
      <c r="C3" s="3" t="str">
        <f t="shared" si="2"/>
        <v>CEK - S-002</v>
      </c>
      <c r="D3" s="4">
        <v>1.0</v>
      </c>
      <c r="E3" s="4" t="s">
        <v>10</v>
      </c>
      <c r="F3" s="5" t="s">
        <v>11</v>
      </c>
    </row>
    <row r="4">
      <c r="A4" s="3" t="str">
        <f t="shared" si="1"/>
        <v>Alcohol swab  - onemed</v>
      </c>
      <c r="B4" s="4">
        <v>15000.0</v>
      </c>
      <c r="C4" s="3" t="str">
        <f t="shared" si="2"/>
        <v>ALCO-ON-003</v>
      </c>
      <c r="D4" s="4">
        <v>3.0</v>
      </c>
      <c r="E4" s="4" t="s">
        <v>12</v>
      </c>
      <c r="F4" s="4" t="s">
        <v>13</v>
      </c>
    </row>
    <row r="5">
      <c r="A5" s="3" t="str">
        <f t="shared" si="1"/>
        <v>Blood lancets - onemed</v>
      </c>
      <c r="B5" s="4">
        <v>15000.0</v>
      </c>
      <c r="C5" s="3" t="str">
        <f t="shared" si="2"/>
        <v>BLOO-ON-004</v>
      </c>
      <c r="D5" s="4">
        <v>2.0</v>
      </c>
      <c r="E5" s="4" t="s">
        <v>12</v>
      </c>
      <c r="F5" s="4" t="s">
        <v>14</v>
      </c>
    </row>
    <row r="6">
      <c r="A6" s="3" t="str">
        <f t="shared" si="1"/>
        <v>Termometer tembak - omicron</v>
      </c>
      <c r="B6" s="4">
        <v>55000.0</v>
      </c>
      <c r="C6" s="3" t="str">
        <f t="shared" si="2"/>
        <v>TERM-OM-005</v>
      </c>
      <c r="D6" s="4">
        <v>1.0</v>
      </c>
      <c r="E6" s="4" t="s">
        <v>15</v>
      </c>
      <c r="F6" s="4" t="s">
        <v>16</v>
      </c>
    </row>
    <row r="7">
      <c r="A7" s="3" t="str">
        <f t="shared" si="1"/>
        <v>Set Rawat Luka - onemed</v>
      </c>
      <c r="B7" s="4">
        <v>17000.0</v>
      </c>
      <c r="C7" s="3" t="str">
        <f t="shared" si="2"/>
        <v>SET -ON-006</v>
      </c>
      <c r="D7" s="4">
        <v>1.0</v>
      </c>
      <c r="E7" s="4" t="s">
        <v>12</v>
      </c>
      <c r="F7" s="4" t="s">
        <v>17</v>
      </c>
    </row>
    <row r="8">
      <c r="A8" s="3" t="str">
        <f t="shared" si="1"/>
        <v>Sarung Tangan M - Safegloves </v>
      </c>
      <c r="B8" s="4">
        <v>45000.0</v>
      </c>
      <c r="C8" s="3" t="str">
        <f t="shared" si="2"/>
        <v>SARU-SA-007</v>
      </c>
      <c r="D8" s="4">
        <v>1.0</v>
      </c>
      <c r="E8" s="4" t="s">
        <v>18</v>
      </c>
      <c r="F8" s="4" t="s">
        <v>19</v>
      </c>
    </row>
    <row r="9">
      <c r="A9" s="3" t="str">
        <f t="shared" si="1"/>
        <v>Kotak P3K - onemed</v>
      </c>
      <c r="B9" s="4">
        <v>35000.0</v>
      </c>
      <c r="C9" s="3" t="str">
        <f t="shared" si="2"/>
        <v>KOTA-ON-008</v>
      </c>
      <c r="D9" s="4">
        <v>1.0</v>
      </c>
      <c r="E9" s="4" t="s">
        <v>12</v>
      </c>
      <c r="F9" s="4" t="s">
        <v>20</v>
      </c>
    </row>
    <row r="10">
      <c r="A10" s="3" t="str">
        <f t="shared" si="1"/>
        <v>​Ultrafix 5x1cm - onemed</v>
      </c>
      <c r="B10" s="4">
        <v>5000.0</v>
      </c>
      <c r="C10" s="3" t="str">
        <f t="shared" si="2"/>
        <v>​ULT-ON-009</v>
      </c>
      <c r="D10" s="4">
        <v>3.0</v>
      </c>
      <c r="E10" s="4" t="s">
        <v>12</v>
      </c>
      <c r="F10" s="4" t="s">
        <v>21</v>
      </c>
    </row>
    <row r="11">
      <c r="A11" s="3" t="str">
        <f t="shared" si="1"/>
        <v>Tensimeter digital - </v>
      </c>
      <c r="B11" s="4">
        <v>70000.0</v>
      </c>
      <c r="C11" s="3" t="str">
        <f t="shared" si="2"/>
        <v>TENS--010</v>
      </c>
      <c r="D11" s="4">
        <v>1.0</v>
      </c>
      <c r="E11" s="4"/>
      <c r="F11" s="4" t="s">
        <v>22</v>
      </c>
    </row>
    <row r="12">
      <c r="A12" s="3" t="str">
        <f t="shared" si="1"/>
        <v>​Plesterin WP - onemed</v>
      </c>
      <c r="B12" s="4">
        <v>1000.0</v>
      </c>
      <c r="C12" s="3" t="str">
        <f t="shared" si="2"/>
        <v>​PLE-ON-011</v>
      </c>
      <c r="D12" s="4">
        <v>1.0</v>
      </c>
      <c r="E12" s="4" t="s">
        <v>12</v>
      </c>
      <c r="F12" s="4" t="s">
        <v>23</v>
      </c>
    </row>
    <row r="13">
      <c r="A13" s="3" t="str">
        <f t="shared" si="1"/>
        <v>Termometer digital  - GP care</v>
      </c>
      <c r="B13" s="4">
        <v>18000.0</v>
      </c>
      <c r="C13" s="3" t="str">
        <f t="shared" si="2"/>
        <v>TERM-GP-012</v>
      </c>
      <c r="D13" s="4">
        <v>1.0</v>
      </c>
      <c r="E13" s="4" t="s">
        <v>24</v>
      </c>
      <c r="F13" s="5" t="s">
        <v>9</v>
      </c>
    </row>
    <row r="14">
      <c r="A14" s="3" t="str">
        <f t="shared" si="1"/>
        <v>Alkohol 70% 100ml - LSI</v>
      </c>
      <c r="B14" s="4">
        <v>10000.0</v>
      </c>
      <c r="C14" s="3" t="str">
        <f t="shared" si="2"/>
        <v>ALKO-LS-013</v>
      </c>
      <c r="D14" s="4">
        <v>1.0</v>
      </c>
      <c r="E14" s="4" t="s">
        <v>25</v>
      </c>
      <c r="F14" s="4" t="s">
        <v>26</v>
      </c>
    </row>
    <row r="15">
      <c r="A15" s="3" t="str">
        <f t="shared" si="1"/>
        <v>Povidone Iodine 30ml - Onemed</v>
      </c>
      <c r="B15" s="4">
        <v>10000.0</v>
      </c>
      <c r="C15" s="3" t="str">
        <f t="shared" si="2"/>
        <v>POVI-ON-014</v>
      </c>
      <c r="D15" s="4">
        <v>1.0</v>
      </c>
      <c r="E15" s="4" t="s">
        <v>27</v>
      </c>
      <c r="F15" s="4" t="s">
        <v>28</v>
      </c>
    </row>
    <row r="16">
      <c r="A16" s="3" t="str">
        <f t="shared" si="1"/>
        <v>Test Pack - Onemed</v>
      </c>
      <c r="B16" s="4">
        <v>5000.0</v>
      </c>
      <c r="C16" s="3" t="str">
        <f t="shared" si="2"/>
        <v>TEST-ON-015</v>
      </c>
      <c r="D16" s="4">
        <v>1.0</v>
      </c>
      <c r="E16" s="4" t="s">
        <v>27</v>
      </c>
      <c r="F16" s="4" t="s">
        <v>29</v>
      </c>
    </row>
    <row r="17">
      <c r="A17" s="3" t="str">
        <f t="shared" si="1"/>
        <v>​I.V. Catheter no 22 - GEA</v>
      </c>
      <c r="B17" s="4">
        <v>8500.0</v>
      </c>
      <c r="C17" s="3" t="str">
        <f t="shared" si="2"/>
        <v>​I.V-GE-016</v>
      </c>
      <c r="D17" s="4">
        <v>1.0</v>
      </c>
      <c r="E17" s="4" t="s">
        <v>30</v>
      </c>
      <c r="F17" s="6" t="s">
        <v>31</v>
      </c>
    </row>
    <row r="18">
      <c r="A18" s="3" t="str">
        <f t="shared" si="1"/>
        <v>Pulse Oximeter  - </v>
      </c>
      <c r="B18" s="4">
        <v>57000.0</v>
      </c>
      <c r="C18" s="3" t="str">
        <f t="shared" si="2"/>
        <v>PULS--017</v>
      </c>
      <c r="D18" s="4">
        <v>1.0</v>
      </c>
      <c r="F18" s="4" t="s">
        <v>32</v>
      </c>
    </row>
    <row r="19">
      <c r="A19" s="3" t="str">
        <f t="shared" si="1"/>
        <v>​Mesin Nebulizer  - upheal</v>
      </c>
      <c r="B19" s="4">
        <v>76500.0</v>
      </c>
      <c r="C19" s="3" t="str">
        <f t="shared" si="2"/>
        <v>​MES-UP-018</v>
      </c>
      <c r="D19" s="4">
        <v>1.0</v>
      </c>
      <c r="E19" s="4" t="s">
        <v>33</v>
      </c>
      <c r="F19" s="4" t="s">
        <v>34</v>
      </c>
    </row>
    <row r="20">
      <c r="A20" s="3" t="str">
        <f t="shared" si="1"/>
        <v>Celana sunat - </v>
      </c>
      <c r="B20" s="4">
        <v>15000.0</v>
      </c>
      <c r="C20" s="3" t="str">
        <f t="shared" si="2"/>
        <v>CELA--019</v>
      </c>
      <c r="D20" s="4">
        <v>1.0</v>
      </c>
      <c r="F20" s="4" t="s">
        <v>35</v>
      </c>
    </row>
    <row r="21" ht="15.75" customHeight="1">
      <c r="A21" s="3" t="str">
        <f t="shared" si="1"/>
        <v>​Tensimeter pergelangan - omicron</v>
      </c>
      <c r="B21" s="4">
        <v>120000.0</v>
      </c>
      <c r="C21" s="3" t="str">
        <f t="shared" si="2"/>
        <v>​TEN-OM-020</v>
      </c>
      <c r="D21" s="4">
        <v>1.0</v>
      </c>
      <c r="E21" s="4" t="s">
        <v>15</v>
      </c>
      <c r="F21" s="4" t="s">
        <v>36</v>
      </c>
    </row>
    <row r="22" ht="15.75" customHeight="1">
      <c r="A22" s="3" t="str">
        <f t="shared" si="1"/>
        <v>Kasa hidrofik 16 x 16 - Narita</v>
      </c>
      <c r="B22" s="4">
        <v>5000.0</v>
      </c>
      <c r="C22" s="3" t="str">
        <f t="shared" si="2"/>
        <v>KASA-NA-021</v>
      </c>
      <c r="D22" s="4">
        <v>1.0</v>
      </c>
      <c r="E22" s="4" t="s">
        <v>37</v>
      </c>
      <c r="F22" s="4" t="s">
        <v>38</v>
      </c>
    </row>
    <row r="23" ht="15.75" customHeight="1">
      <c r="A23" s="3" t="str">
        <f t="shared" si="1"/>
        <v>NGT 18Fr - Onemed</v>
      </c>
      <c r="B23" s="4">
        <v>15000.0</v>
      </c>
      <c r="C23" s="3" t="str">
        <f t="shared" si="2"/>
        <v>NGT -ON-022</v>
      </c>
      <c r="D23" s="4">
        <v>1.0</v>
      </c>
      <c r="E23" s="4" t="s">
        <v>27</v>
      </c>
      <c r="F23" s="4" t="s">
        <v>39</v>
      </c>
    </row>
    <row r="24" ht="15.75" customHeight="1">
      <c r="A24" s="3" t="str">
        <f t="shared" si="1"/>
        <v>Foley Catheter 18Fr - GEA</v>
      </c>
      <c r="B24" s="4">
        <v>15000.0</v>
      </c>
      <c r="C24" s="3" t="str">
        <f t="shared" si="2"/>
        <v>FOLE-GE-023</v>
      </c>
      <c r="D24" s="4">
        <v>1.0</v>
      </c>
      <c r="E24" s="4" t="s">
        <v>30</v>
      </c>
      <c r="F24" s="4" t="s">
        <v>40</v>
      </c>
    </row>
    <row r="25" ht="15.75" customHeight="1">
      <c r="A25" s="3" t="str">
        <f t="shared" si="1"/>
        <v>Nasal Dewasa - GEA</v>
      </c>
      <c r="B25" s="4">
        <v>15000.0</v>
      </c>
      <c r="C25" s="3" t="str">
        <f t="shared" si="2"/>
        <v>NASA-GE-024</v>
      </c>
      <c r="D25" s="4">
        <v>1.0</v>
      </c>
      <c r="E25" s="4" t="s">
        <v>30</v>
      </c>
      <c r="F25" s="4" t="s">
        <v>41</v>
      </c>
    </row>
    <row r="26" ht="15.75" customHeight="1">
      <c r="A26" s="3" t="str">
        <f t="shared" si="1"/>
        <v>​Syringe 50cc NT - Onemed</v>
      </c>
      <c r="B26" s="4">
        <v>10000.0</v>
      </c>
      <c r="C26" s="3" t="str">
        <f t="shared" si="2"/>
        <v>​SYR-ON-025</v>
      </c>
      <c r="D26" s="4">
        <v>1.0</v>
      </c>
      <c r="E26" s="4" t="s">
        <v>27</v>
      </c>
      <c r="F26" s="4" t="s">
        <v>42</v>
      </c>
    </row>
    <row r="27" ht="15.75" customHeight="1">
      <c r="A27" s="3" t="str">
        <f t="shared" si="1"/>
        <v>​I.V. Catheter No 22G - Healthcare</v>
      </c>
      <c r="B27" s="4">
        <v>8500.0</v>
      </c>
      <c r="C27" s="3" t="str">
        <f t="shared" si="2"/>
        <v>​I.V-HE-026</v>
      </c>
      <c r="D27" s="4">
        <v>1.0</v>
      </c>
      <c r="E27" s="4" t="s">
        <v>43</v>
      </c>
      <c r="F27" s="4" t="s">
        <v>44</v>
      </c>
    </row>
    <row r="28" ht="15.75" customHeight="1">
      <c r="A28" s="3" t="str">
        <f t="shared" si="1"/>
        <v>​I.V. Catheter No 20G - Healthcare</v>
      </c>
      <c r="B28" s="4">
        <v>8500.0</v>
      </c>
      <c r="C28" s="3" t="str">
        <f t="shared" si="2"/>
        <v>​I.V-HE-027</v>
      </c>
      <c r="D28" s="4">
        <v>1.0</v>
      </c>
      <c r="E28" s="4" t="s">
        <v>43</v>
      </c>
      <c r="F28" s="4" t="s">
        <v>45</v>
      </c>
    </row>
    <row r="29" ht="15.75" customHeight="1">
      <c r="A29" s="3" t="str">
        <f t="shared" si="1"/>
        <v>Infus set - Onehealth</v>
      </c>
      <c r="B29" s="4">
        <v>10000.0</v>
      </c>
      <c r="C29" s="3" t="str">
        <f t="shared" si="2"/>
        <v>INFU-ON-028</v>
      </c>
      <c r="D29" s="4">
        <v>1.0</v>
      </c>
      <c r="E29" s="4" t="s">
        <v>46</v>
      </c>
      <c r="F29" s="4" t="s">
        <v>47</v>
      </c>
    </row>
    <row r="30" ht="15.75" customHeight="1">
      <c r="A30" s="3" t="str">
        <f t="shared" si="1"/>
        <v>​Alcohol Pads - Avico</v>
      </c>
      <c r="B30" s="4">
        <v>15000.0</v>
      </c>
      <c r="C30" s="3" t="str">
        <f t="shared" si="2"/>
        <v>​ALC-AV-029</v>
      </c>
      <c r="D30" s="4">
        <v>1.0</v>
      </c>
      <c r="E30" s="4" t="s">
        <v>48</v>
      </c>
      <c r="F30" s="4" t="s">
        <v>49</v>
      </c>
    </row>
    <row r="31" ht="15.75" customHeight="1">
      <c r="A31" s="3" t="str">
        <f t="shared" si="1"/>
        <v>Plesterin bulat soft - Plesterin</v>
      </c>
      <c r="B31" s="4">
        <v>500.0</v>
      </c>
      <c r="C31" s="3" t="str">
        <f t="shared" si="2"/>
        <v>PLES-PL-030</v>
      </c>
      <c r="D31" s="4">
        <v>1.0</v>
      </c>
      <c r="E31" s="4" t="s">
        <v>50</v>
      </c>
      <c r="F31" s="4" t="s">
        <v>51</v>
      </c>
    </row>
    <row r="32" ht="15.75" customHeight="1">
      <c r="A32" s="3" t="str">
        <f t="shared" si="1"/>
        <v>Syringe 5 ml - Onehealth</v>
      </c>
      <c r="B32" s="4">
        <v>1000.0</v>
      </c>
      <c r="C32" s="3" t="str">
        <f t="shared" si="2"/>
        <v>SYRI-ON-031</v>
      </c>
      <c r="D32" s="4">
        <v>1.0</v>
      </c>
      <c r="E32" s="4" t="s">
        <v>46</v>
      </c>
      <c r="F32" s="4" t="s">
        <v>52</v>
      </c>
    </row>
    <row r="33" ht="15.75" customHeight="1">
      <c r="A33" s="3" t="str">
        <f t="shared" si="1"/>
        <v>Syringe 3 ml - Onehealth</v>
      </c>
      <c r="B33" s="4">
        <v>1500.0</v>
      </c>
      <c r="C33" s="3" t="str">
        <f t="shared" si="2"/>
        <v>SYRI-ON-032</v>
      </c>
      <c r="D33" s="4">
        <v>1.0</v>
      </c>
      <c r="E33" s="4" t="s">
        <v>46</v>
      </c>
      <c r="F33" s="4" t="s">
        <v>53</v>
      </c>
    </row>
    <row r="34" ht="15.75" customHeight="1">
      <c r="A34" s="3" t="str">
        <f t="shared" si="1"/>
        <v>Syringe 10 ml - Onehealth</v>
      </c>
      <c r="B34" s="4">
        <v>2000.0</v>
      </c>
      <c r="C34" s="3" t="str">
        <f t="shared" si="2"/>
        <v>SYRI-ON-033</v>
      </c>
      <c r="D34" s="4">
        <v>1.0</v>
      </c>
      <c r="E34" s="4" t="s">
        <v>46</v>
      </c>
      <c r="F34" s="4" t="s">
        <v>54</v>
      </c>
    </row>
    <row r="35" ht="15.75" customHeight="1">
      <c r="A35" s="3" t="str">
        <f t="shared" si="1"/>
        <v>Doble spike - Onemed</v>
      </c>
      <c r="B35" s="4">
        <v>5000.0</v>
      </c>
      <c r="C35" s="3" t="str">
        <f t="shared" si="2"/>
        <v>DOBL-ON-034</v>
      </c>
      <c r="D35" s="4">
        <v>1.0</v>
      </c>
      <c r="E35" s="4" t="s">
        <v>27</v>
      </c>
      <c r="F35" s="4" t="s">
        <v>55</v>
      </c>
    </row>
    <row r="36" ht="15.75" customHeight="1">
      <c r="A36" s="3" t="str">
        <f t="shared" si="1"/>
        <v>urin bag - Onemed</v>
      </c>
      <c r="B36" s="4">
        <v>12000.0</v>
      </c>
      <c r="C36" s="3" t="str">
        <f t="shared" si="2"/>
        <v>URIN-ON-035</v>
      </c>
      <c r="D36" s="4">
        <v>1.0</v>
      </c>
      <c r="E36" s="4" t="s">
        <v>27</v>
      </c>
      <c r="F36" s="4" t="s">
        <v>56</v>
      </c>
    </row>
    <row r="37" ht="15.75" customHeight="1">
      <c r="A37" s="3" t="str">
        <f t="shared" si="1"/>
        <v>Needle no 24 - Terumo</v>
      </c>
      <c r="B37" s="4">
        <v>1000.0</v>
      </c>
      <c r="C37" s="3" t="str">
        <f t="shared" si="2"/>
        <v>NEED-TE-036</v>
      </c>
      <c r="D37" s="4">
        <v>1.0</v>
      </c>
      <c r="E37" s="4" t="s">
        <v>57</v>
      </c>
      <c r="F37" s="4" t="s">
        <v>58</v>
      </c>
    </row>
    <row r="38" ht="15.75" customHeight="1">
      <c r="A38" s="3" t="str">
        <f t="shared" si="1"/>
        <v>Stetoskop - Onemed</v>
      </c>
      <c r="B38" s="4">
        <v>40000.0</v>
      </c>
      <c r="C38" s="3" t="str">
        <f t="shared" si="2"/>
        <v>STET-ON-037</v>
      </c>
      <c r="E38" s="4" t="s">
        <v>27</v>
      </c>
      <c r="F38" s="4" t="s">
        <v>59</v>
      </c>
    </row>
    <row r="39" ht="15.75" customHeight="1">
      <c r="A39" s="3" t="str">
        <f t="shared" si="1"/>
        <v>Tourniquet - Onemed</v>
      </c>
      <c r="B39" s="4">
        <v>15000.0</v>
      </c>
      <c r="C39" s="3" t="str">
        <f t="shared" si="2"/>
        <v>TOUR-ON-038</v>
      </c>
      <c r="E39" s="4" t="s">
        <v>27</v>
      </c>
      <c r="F39" s="4" t="s">
        <v>60</v>
      </c>
    </row>
    <row r="40" ht="15.75" customHeight="1">
      <c r="A40" s="3" t="str">
        <f t="shared" si="1"/>
        <v>pispot - Onemed</v>
      </c>
      <c r="B40" s="4">
        <v>10000.0</v>
      </c>
      <c r="C40" s="3" t="str">
        <f t="shared" si="2"/>
        <v>PISP-ON-039</v>
      </c>
      <c r="E40" s="4" t="s">
        <v>27</v>
      </c>
      <c r="F40" s="4" t="s">
        <v>61</v>
      </c>
    </row>
    <row r="41" ht="15.75" customHeight="1">
      <c r="A41" s="3" t="str">
        <f t="shared" si="1"/>
        <v>strip chole - Easytouch</v>
      </c>
      <c r="B41" s="4">
        <v>190000.0</v>
      </c>
      <c r="C41" s="3" t="str">
        <f t="shared" si="2"/>
        <v>STRI-EA-040</v>
      </c>
      <c r="E41" s="4" t="s">
        <v>62</v>
      </c>
      <c r="F41" s="4" t="s">
        <v>63</v>
      </c>
    </row>
    <row r="42" ht="15.75" customHeight="1">
      <c r="A42" s="3" t="str">
        <f t="shared" si="1"/>
        <v>alat penggerus - Onemed</v>
      </c>
      <c r="B42" s="4">
        <v>25000.0</v>
      </c>
      <c r="C42" s="3" t="str">
        <f t="shared" si="2"/>
        <v>ALAT-ON-041</v>
      </c>
      <c r="E42" s="4" t="s">
        <v>27</v>
      </c>
      <c r="F42" s="4" t="s">
        <v>64</v>
      </c>
    </row>
    <row r="43" ht="15.75" customHeight="1">
      <c r="A43" s="3" t="str">
        <f t="shared" si="1"/>
        <v>Wash gloves - T-Towel</v>
      </c>
      <c r="B43" s="4">
        <v>15000.0</v>
      </c>
      <c r="C43" s="3" t="str">
        <f t="shared" si="2"/>
        <v>WASH-T--042</v>
      </c>
      <c r="E43" s="4" t="s">
        <v>65</v>
      </c>
      <c r="F43" s="4" t="s">
        <v>66</v>
      </c>
    </row>
    <row r="44" ht="15.75" customHeight="1">
      <c r="A44" s="3" t="str">
        <f t="shared" si="1"/>
        <v>Alkohol 70% 100ml - Onemed</v>
      </c>
      <c r="B44" s="4">
        <v>10000.0</v>
      </c>
      <c r="C44" s="3" t="str">
        <f t="shared" si="2"/>
        <v>ALKO-ON-043</v>
      </c>
      <c r="E44" s="4" t="s">
        <v>27</v>
      </c>
      <c r="F44" s="4" t="s">
        <v>26</v>
      </c>
    </row>
    <row r="45" ht="15.75" customHeight="1">
      <c r="A45" s="3" t="str">
        <f t="shared" si="1"/>
        <v>Tensimeter digital - Omron</v>
      </c>
      <c r="B45" s="4">
        <v>360000.0</v>
      </c>
      <c r="C45" s="3" t="str">
        <f t="shared" si="2"/>
        <v>TENS-OM-044</v>
      </c>
      <c r="E45" s="4" t="s">
        <v>67</v>
      </c>
      <c r="F45" s="4" t="s">
        <v>22</v>
      </c>
    </row>
    <row r="46" ht="15.75" customHeight="1">
      <c r="A46" s="3" t="str">
        <f t="shared" si="1"/>
        <v>alkohol 70% 300ml - Onemed</v>
      </c>
      <c r="B46" s="4">
        <v>20000.0</v>
      </c>
      <c r="C46" s="3" t="str">
        <f t="shared" si="2"/>
        <v>ALKO-ON-045</v>
      </c>
      <c r="E46" s="4" t="s">
        <v>27</v>
      </c>
      <c r="F46" s="4" t="s">
        <v>68</v>
      </c>
    </row>
    <row r="47" ht="15.75" customHeight="1">
      <c r="A47" s="3" t="str">
        <f t="shared" si="1"/>
        <v>Tensimeter digital - Omicron</v>
      </c>
      <c r="B47" s="4">
        <v>80000.0</v>
      </c>
      <c r="C47" s="3" t="str">
        <f t="shared" si="2"/>
        <v>TENS-OM-046</v>
      </c>
      <c r="E47" s="4" t="s">
        <v>69</v>
      </c>
      <c r="F47" s="4" t="s">
        <v>22</v>
      </c>
    </row>
    <row r="48" ht="15.75" customHeight="1">
      <c r="A48" s="3" t="str">
        <f t="shared" si="1"/>
        <v>Strip glucosa 25 - sinoheart</v>
      </c>
      <c r="B48" s="4">
        <v>65000.0</v>
      </c>
      <c r="C48" s="3" t="str">
        <f t="shared" si="2"/>
        <v>STRI-SI-047</v>
      </c>
      <c r="E48" s="4" t="s">
        <v>70</v>
      </c>
      <c r="F48" s="4" t="s">
        <v>71</v>
      </c>
    </row>
    <row r="49" ht="15.75" customHeight="1">
      <c r="A49" s="3" t="str">
        <f t="shared" si="1"/>
        <v>kasur decubitus - Onemed</v>
      </c>
      <c r="B49" s="4">
        <v>400000.0</v>
      </c>
      <c r="C49" s="3" t="str">
        <f t="shared" si="2"/>
        <v>KASU-ON-048</v>
      </c>
      <c r="E49" s="4" t="s">
        <v>27</v>
      </c>
      <c r="F49" s="4" t="s">
        <v>72</v>
      </c>
    </row>
    <row r="50" ht="15.75" customHeight="1">
      <c r="A50" s="3" t="str">
        <f t="shared" si="1"/>
        <v>Alat stik 3 in 1 - Easytouch</v>
      </c>
      <c r="B50" s="4">
        <v>250000.0</v>
      </c>
      <c r="C50" s="3" t="str">
        <f t="shared" si="2"/>
        <v>ALAT-EA-049</v>
      </c>
      <c r="E50" s="4" t="s">
        <v>62</v>
      </c>
      <c r="F50" s="4" t="s">
        <v>73</v>
      </c>
    </row>
    <row r="51" ht="15.75" customHeight="1">
      <c r="A51" s="3" t="str">
        <f t="shared" si="1"/>
        <v>Strip chole - Easytouch</v>
      </c>
      <c r="B51" s="4">
        <v>190000.0</v>
      </c>
      <c r="C51" s="3" t="str">
        <f t="shared" si="2"/>
        <v>STRI-EA-050</v>
      </c>
      <c r="E51" s="4" t="s">
        <v>62</v>
      </c>
      <c r="F51" s="4" t="s">
        <v>74</v>
      </c>
    </row>
    <row r="52" ht="15.75" customHeight="1">
      <c r="A52" s="3" t="str">
        <f t="shared" si="1"/>
        <v>Tensimeter manual - Onemed</v>
      </c>
      <c r="B52" s="4">
        <v>100000.0</v>
      </c>
      <c r="C52" s="3" t="str">
        <f t="shared" si="2"/>
        <v>TENS-ON-051</v>
      </c>
      <c r="E52" s="4" t="s">
        <v>27</v>
      </c>
      <c r="F52" s="4" t="s">
        <v>75</v>
      </c>
    </row>
    <row r="53" ht="15.75" customHeight="1">
      <c r="A53" s="3" t="str">
        <f t="shared" si="1"/>
        <v>Syringe 50cc LT - Onemed</v>
      </c>
      <c r="B53" s="4">
        <v>12000.0</v>
      </c>
      <c r="C53" s="3" t="str">
        <f t="shared" si="2"/>
        <v>SYRI-ON-052</v>
      </c>
      <c r="E53" s="4" t="s">
        <v>27</v>
      </c>
      <c r="F53" s="4" t="s">
        <v>76</v>
      </c>
    </row>
    <row r="54" ht="15.75" customHeight="1">
      <c r="A54" s="3" t="str">
        <f t="shared" si="1"/>
        <v>urin bag - GEA</v>
      </c>
      <c r="B54" s="4">
        <v>9000.0</v>
      </c>
      <c r="C54" s="3" t="str">
        <f t="shared" si="2"/>
        <v>URIN-GE-053</v>
      </c>
      <c r="E54" s="4" t="s">
        <v>30</v>
      </c>
      <c r="F54" s="4" t="s">
        <v>56</v>
      </c>
    </row>
    <row r="55" ht="15.75" customHeight="1">
      <c r="A55" s="3" t="str">
        <f t="shared" si="1"/>
        <v>Tensi + stetoskop - Onemed</v>
      </c>
      <c r="B55" s="4">
        <v>135000.0</v>
      </c>
      <c r="C55" s="3" t="str">
        <f t="shared" si="2"/>
        <v>TENS-ON-054</v>
      </c>
      <c r="E55" s="4" t="s">
        <v>27</v>
      </c>
      <c r="F55" s="4" t="s">
        <v>77</v>
      </c>
    </row>
    <row r="56" ht="15.75" customHeight="1">
      <c r="A56" s="3" t="str">
        <f t="shared" si="1"/>
        <v>Arm Sling - GlowMed</v>
      </c>
      <c r="B56" s="4">
        <v>32000.0</v>
      </c>
      <c r="C56" s="3" t="str">
        <f t="shared" si="2"/>
        <v>ARM -GL-055</v>
      </c>
      <c r="E56" s="4" t="s">
        <v>78</v>
      </c>
      <c r="F56" s="4" t="s">
        <v>79</v>
      </c>
    </row>
    <row r="57" ht="15.75" customHeight="1">
      <c r="A57" s="3" t="str">
        <f t="shared" si="1"/>
        <v>Wing needle - Onemed</v>
      </c>
      <c r="B57" s="4">
        <v>3000.0</v>
      </c>
      <c r="C57" s="3" t="str">
        <f t="shared" si="2"/>
        <v>WING-ON-056</v>
      </c>
      <c r="E57" s="4" t="s">
        <v>27</v>
      </c>
      <c r="F57" s="4" t="s">
        <v>80</v>
      </c>
    </row>
    <row r="58" ht="15.75" customHeight="1">
      <c r="A58" s="3" t="str">
        <f t="shared" si="1"/>
        <v>Plester coklat - Chilli plast</v>
      </c>
      <c r="B58" s="4">
        <v>2000.0</v>
      </c>
      <c r="C58" s="3" t="str">
        <f t="shared" si="2"/>
        <v>PLES-CH-057</v>
      </c>
      <c r="E58" s="4" t="s">
        <v>81</v>
      </c>
      <c r="F58" s="4" t="s">
        <v>82</v>
      </c>
    </row>
    <row r="59" ht="15.75" customHeight="1">
      <c r="A59" s="3" t="str">
        <f t="shared" si="1"/>
        <v>Tensimeter BW750 - Omicron</v>
      </c>
      <c r="B59" s="4">
        <v>120000.0</v>
      </c>
      <c r="C59" s="3" t="str">
        <f t="shared" si="2"/>
        <v>TENS-OM-058</v>
      </c>
      <c r="E59" s="4" t="s">
        <v>69</v>
      </c>
      <c r="F59" s="4" t="s">
        <v>83</v>
      </c>
    </row>
    <row r="60" ht="15.75" customHeight="1">
      <c r="A60" s="3" t="str">
        <f t="shared" si="1"/>
        <v>Gel Jelly lubricant - Onemed</v>
      </c>
      <c r="B60" s="4">
        <v>35000.0</v>
      </c>
      <c r="C60" s="3" t="str">
        <f t="shared" si="2"/>
        <v>GEL -ON-059</v>
      </c>
      <c r="E60" s="4" t="s">
        <v>27</v>
      </c>
      <c r="F60" s="4" t="s">
        <v>84</v>
      </c>
    </row>
    <row r="61" ht="15.75" customHeight="1">
      <c r="A61" s="3" t="str">
        <f t="shared" si="1"/>
        <v>Oximeter saturasi - Omicron</v>
      </c>
      <c r="B61" s="4">
        <v>130000.0</v>
      </c>
      <c r="C61" s="3" t="str">
        <f t="shared" si="2"/>
        <v>OXIM-OM-060</v>
      </c>
      <c r="E61" s="4" t="s">
        <v>69</v>
      </c>
      <c r="F61" s="4" t="s">
        <v>85</v>
      </c>
    </row>
    <row r="62" ht="15.75" customHeight="1">
      <c r="A62" s="3" t="str">
        <f t="shared" si="1"/>
        <v>Tensimeter digital - iTrust BP 121</v>
      </c>
      <c r="B62" s="4">
        <v>125000.0</v>
      </c>
      <c r="C62" s="3" t="str">
        <f t="shared" si="2"/>
        <v>TENS-IT-061</v>
      </c>
      <c r="E62" s="4" t="s">
        <v>86</v>
      </c>
      <c r="F62" s="4" t="s">
        <v>22</v>
      </c>
    </row>
    <row r="63" ht="15.75" customHeight="1">
      <c r="A63" s="3" t="str">
        <f t="shared" si="1"/>
        <v>Oximeter saturasi anak - Omicron</v>
      </c>
      <c r="B63" s="4">
        <v>55000.0</v>
      </c>
      <c r="C63" s="3" t="str">
        <f t="shared" si="2"/>
        <v>OXIM-OM-062</v>
      </c>
      <c r="E63" s="4" t="s">
        <v>69</v>
      </c>
      <c r="F63" s="4" t="s">
        <v>87</v>
      </c>
    </row>
    <row r="64" ht="15.75" customHeight="1">
      <c r="A64" s="3" t="str">
        <f t="shared" si="1"/>
        <v>wash gloves 4 - onecleane</v>
      </c>
      <c r="B64" s="4">
        <v>15000.0</v>
      </c>
      <c r="C64" s="3" t="str">
        <f t="shared" si="2"/>
        <v>WASH-ON-063</v>
      </c>
      <c r="E64" s="4" t="s">
        <v>88</v>
      </c>
      <c r="F64" s="4" t="s">
        <v>89</v>
      </c>
    </row>
    <row r="65" ht="15.75" customHeight="1">
      <c r="A65" s="3" t="str">
        <f t="shared" si="1"/>
        <v>Oximeter - LK88</v>
      </c>
      <c r="B65" s="4">
        <v>50000.0</v>
      </c>
      <c r="C65" s="3" t="str">
        <f t="shared" si="2"/>
        <v>OXIM-LK-064</v>
      </c>
      <c r="E65" s="4" t="s">
        <v>90</v>
      </c>
      <c r="F65" s="4" t="s">
        <v>91</v>
      </c>
    </row>
    <row r="66" ht="15.75" customHeight="1">
      <c r="A66" s="3" t="str">
        <f t="shared" si="1"/>
        <v>Thermogun - GP 100</v>
      </c>
      <c r="B66" s="4">
        <v>50000.0</v>
      </c>
      <c r="C66" s="3" t="str">
        <f t="shared" si="2"/>
        <v>THER-GP-065</v>
      </c>
      <c r="E66" s="4" t="s">
        <v>92</v>
      </c>
      <c r="F66" s="4" t="s">
        <v>93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